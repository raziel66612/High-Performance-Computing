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final project\Part A\"/>
    </mc:Choice>
  </mc:AlternateContent>
  <xr:revisionPtr revIDLastSave="0" documentId="13_ncr:1_{19F0B657-CF07-4A8F-B090-6076A46B8EC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D19" i="1"/>
  <c r="F18" i="1"/>
  <c r="D18" i="1"/>
  <c r="F17" i="1"/>
  <c r="D17" i="1"/>
  <c r="F16" i="1"/>
  <c r="D16" i="1"/>
  <c r="F15" i="1"/>
  <c r="D15" i="1"/>
  <c r="F7" i="1"/>
  <c r="F8" i="1"/>
  <c r="F9" i="1"/>
  <c r="F10" i="1"/>
  <c r="F6" i="1"/>
  <c r="D8" i="1"/>
  <c r="D9" i="1"/>
  <c r="D6" i="1"/>
  <c r="C10" i="1"/>
  <c r="D10" i="1" s="1"/>
  <c r="C9" i="1"/>
  <c r="C8" i="1"/>
  <c r="C7" i="1"/>
  <c r="D7" i="1" s="1"/>
  <c r="C6" i="1"/>
</calcChain>
</file>

<file path=xl/sharedStrings.xml><?xml version="1.0" encoding="utf-8"?>
<sst xmlns="http://schemas.openxmlformats.org/spreadsheetml/2006/main" count="22" uniqueCount="12">
  <si>
    <t>grid size</t>
  </si>
  <si>
    <t>Problem size</t>
  </si>
  <si>
    <t>16x16</t>
  </si>
  <si>
    <t>32x32</t>
  </si>
  <si>
    <t>64x64</t>
  </si>
  <si>
    <t>128x128</t>
  </si>
  <si>
    <t>256x256</t>
  </si>
  <si>
    <t>L2_error norm</t>
  </si>
  <si>
    <t>Digit_of_accuracy(DOA)</t>
  </si>
  <si>
    <t>Digit_of_Size(DOS)</t>
  </si>
  <si>
    <t>Q1 : ex5</t>
  </si>
  <si>
    <t>Q2 : ex13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</si>
</sst>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11" fontId="1" fillId="0" borderId="7" xfId="0" applyNumberFormat="1" applyFont="1" applyBorder="1"/>
    <xf numFmtId="0" fontId="1" fillId="2" borderId="2" xfId="0" applyFont="1" applyFill="1" applyBorder="1"/>
    <xf numFmtId="0" fontId="1" fillId="2" borderId="0" xfId="0" applyFont="1" applyFill="1"/>
    <xf numFmtId="0" fontId="1" fillId="2" borderId="7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53504231509254"/>
          <c:y val="3.0334364166104636E-2"/>
          <c:w val="0.87207297422466756"/>
          <c:h val="0.8364749775152226"/>
        </c:manualLayout>
      </c:layout>
      <c:scatterChart>
        <c:scatterStyle val="lineMarker"/>
        <c:varyColors val="0"/>
        <c:ser>
          <c:idx val="0"/>
          <c:order val="0"/>
          <c:tx>
            <c:v>ex5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1412668292729311E-2"/>
                  <c:y val="0.1660477472011826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1.0152x - 0.6343</a:t>
                    </a:r>
                    <a:endParaRPr lang="en-US" sz="12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solidFill>
                    <a:schemeClr val="accent5">
                      <a:lumMod val="60000"/>
                      <a:lumOff val="40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Sheet1!$D$6:$D$10</c:f>
              <c:numCache>
                <c:formatCode>General</c:formatCode>
                <c:ptCount val="5"/>
                <c:pt idx="0">
                  <c:v>2.4082399653118496</c:v>
                </c:pt>
                <c:pt idx="1">
                  <c:v>3.0102999566398121</c:v>
                </c:pt>
                <c:pt idx="2">
                  <c:v>3.6123599479677742</c:v>
                </c:pt>
                <c:pt idx="3">
                  <c:v>4.2144199392957367</c:v>
                </c:pt>
                <c:pt idx="4">
                  <c:v>4.8164799306236992</c:v>
                </c:pt>
              </c:numCache>
            </c:numRef>
          </c:xVal>
          <c:yVal>
            <c:numRef>
              <c:f>Sheet1!$F$6:$F$10</c:f>
              <c:numCache>
                <c:formatCode>General</c:formatCode>
                <c:ptCount val="5"/>
                <c:pt idx="0">
                  <c:v>1.8019342858342586</c:v>
                </c:pt>
                <c:pt idx="1">
                  <c:v>2.4280583649255378</c:v>
                </c:pt>
                <c:pt idx="2">
                  <c:v>3.0393028584969808</c:v>
                </c:pt>
                <c:pt idx="3">
                  <c:v>3.6453327183743176</c:v>
                </c:pt>
                <c:pt idx="4">
                  <c:v>4.2492301814852436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24-4C68-8220-B469C637C7A9}"/>
            </c:ext>
          </c:extLst>
        </c:ser>
        <c:ser>
          <c:idx val="1"/>
          <c:order val="1"/>
          <c:tx>
            <c:v>ex13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8339193217488712E-2"/>
                  <c:y val="2.2602032684680257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ysClr val="windowText" lastClr="000000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0.9804x - 0.437</a:t>
                    </a:r>
                    <a:endParaRPr lang="en-US" sz="120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solidFill>
                    <a:srgbClr val="C0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Sheet1!$D$15:$D$19</c:f>
              <c:numCache>
                <c:formatCode>General</c:formatCode>
                <c:ptCount val="5"/>
                <c:pt idx="0">
                  <c:v>2.3521825181113627</c:v>
                </c:pt>
                <c:pt idx="1">
                  <c:v>2.9827233876685453</c:v>
                </c:pt>
                <c:pt idx="2">
                  <c:v>3.5986810989071634</c:v>
                </c:pt>
                <c:pt idx="3">
                  <c:v>4.2076074419119136</c:v>
                </c:pt>
                <c:pt idx="4">
                  <c:v>4.81308036086791</c:v>
                </c:pt>
              </c:numCache>
            </c:numRef>
          </c:xVal>
          <c:yVal>
            <c:numRef>
              <c:f>Sheet1!$F$15:$F$19</c:f>
              <c:numCache>
                <c:formatCode>General</c:formatCode>
                <c:ptCount val="5"/>
                <c:pt idx="0">
                  <c:v>1.8793207980429614</c:v>
                </c:pt>
                <c:pt idx="1">
                  <c:v>2.4793645235256392</c:v>
                </c:pt>
                <c:pt idx="2">
                  <c:v>3.0828680287649153</c:v>
                </c:pt>
                <c:pt idx="3">
                  <c:v>3.6863668557467819</c:v>
                </c:pt>
                <c:pt idx="4">
                  <c:v>4.2890470202938662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24-4C68-8220-B469C637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8298639"/>
        <c:axId val="798301135"/>
      </c:scatterChart>
      <c:valAx>
        <c:axId val="798298639"/>
        <c:scaling>
          <c:orientation val="minMax"/>
          <c:min val="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301135"/>
        <c:crosses val="autoZero"/>
        <c:crossBetween val="midCat"/>
      </c:valAx>
      <c:valAx>
        <c:axId val="7983011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82986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7207560863944635"/>
          <c:y val="3.5981940956342398E-2"/>
          <c:w val="0.13580860243984222"/>
          <c:h val="0.159420736966833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</xdr:row>
      <xdr:rowOff>71437</xdr:rowOff>
    </xdr:from>
    <xdr:to>
      <xdr:col>16</xdr:col>
      <xdr:colOff>442912</xdr:colOff>
      <xdr:row>24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4E9B46-C040-47F8-2D83-50BAD6BA62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F19"/>
  <sheetViews>
    <sheetView tabSelected="1" zoomScaleNormal="100" workbookViewId="0">
      <selection activeCell="T19" sqref="T19"/>
    </sheetView>
  </sheetViews>
  <sheetFormatPr defaultRowHeight="15" x14ac:dyDescent="0.25"/>
  <cols>
    <col min="3" max="3" width="12.42578125" bestFit="1" customWidth="1"/>
    <col min="4" max="4" width="19.5703125" bestFit="1" customWidth="1"/>
    <col min="5" max="5" width="13.5703125" bestFit="1" customWidth="1"/>
    <col min="6" max="6" width="22.28515625" bestFit="1" customWidth="1"/>
  </cols>
  <sheetData>
    <row r="4" spans="2:6" ht="16.5" thickBot="1" x14ac:dyDescent="0.3">
      <c r="B4" s="1" t="s">
        <v>10</v>
      </c>
      <c r="C4" s="1"/>
      <c r="D4" s="1"/>
      <c r="E4" s="1"/>
      <c r="F4" s="1"/>
    </row>
    <row r="5" spans="2:6" ht="16.5" thickBot="1" x14ac:dyDescent="0.3">
      <c r="B5" s="2" t="s">
        <v>0</v>
      </c>
      <c r="C5" s="3" t="s">
        <v>1</v>
      </c>
      <c r="D5" s="8" t="s">
        <v>9</v>
      </c>
      <c r="E5" s="3" t="s">
        <v>7</v>
      </c>
      <c r="F5" s="11" t="s">
        <v>8</v>
      </c>
    </row>
    <row r="6" spans="2:6" ht="15.75" x14ac:dyDescent="0.25">
      <c r="B6" s="4" t="s">
        <v>2</v>
      </c>
      <c r="C6" s="1">
        <f>16*16</f>
        <v>256</v>
      </c>
      <c r="D6" s="9">
        <f>LOG10(C6)</f>
        <v>2.4082399653118496</v>
      </c>
      <c r="E6" s="1">
        <v>1.5778500000000001E-2</v>
      </c>
      <c r="F6" s="12">
        <f>-LOG10(E6)</f>
        <v>1.8019342858342586</v>
      </c>
    </row>
    <row r="7" spans="2:6" ht="15.75" x14ac:dyDescent="0.25">
      <c r="B7" s="4" t="s">
        <v>3</v>
      </c>
      <c r="C7" s="1">
        <f>32*32</f>
        <v>1024</v>
      </c>
      <c r="D7" s="9">
        <f t="shared" ref="D7:D10" si="0">LOG10(C7)</f>
        <v>3.0102999566398121</v>
      </c>
      <c r="E7" s="1">
        <v>3.7320000000000001E-3</v>
      </c>
      <c r="F7" s="12">
        <f t="shared" ref="F7:F10" si="1">-LOG10(E7)</f>
        <v>2.4280583649255378</v>
      </c>
    </row>
    <row r="8" spans="2:6" ht="15.75" x14ac:dyDescent="0.25">
      <c r="B8" s="4" t="s">
        <v>4</v>
      </c>
      <c r="C8" s="1">
        <f>64*64</f>
        <v>4096</v>
      </c>
      <c r="D8" s="9">
        <f t="shared" si="0"/>
        <v>3.6123599479677742</v>
      </c>
      <c r="E8" s="1">
        <v>9.1347599999999998E-4</v>
      </c>
      <c r="F8" s="12">
        <f t="shared" si="1"/>
        <v>3.0393028584969808</v>
      </c>
    </row>
    <row r="9" spans="2:6" ht="15.75" x14ac:dyDescent="0.25">
      <c r="B9" s="4" t="s">
        <v>5</v>
      </c>
      <c r="C9" s="1">
        <f>128*128</f>
        <v>16384</v>
      </c>
      <c r="D9" s="9">
        <f t="shared" si="0"/>
        <v>4.2144199392957367</v>
      </c>
      <c r="E9" s="1">
        <v>2.2629099999999999E-4</v>
      </c>
      <c r="F9" s="12">
        <f t="shared" si="1"/>
        <v>3.6453327183743176</v>
      </c>
    </row>
    <row r="10" spans="2:6" ht="16.5" thickBot="1" x14ac:dyDescent="0.3">
      <c r="B10" s="5" t="s">
        <v>6</v>
      </c>
      <c r="C10" s="6">
        <f>256*256</f>
        <v>65536</v>
      </c>
      <c r="D10" s="10">
        <f t="shared" si="0"/>
        <v>4.8164799306236992</v>
      </c>
      <c r="E10" s="7">
        <v>5.6333899999999999E-5</v>
      </c>
      <c r="F10" s="13">
        <f t="shared" si="1"/>
        <v>4.2492301814852436</v>
      </c>
    </row>
    <row r="13" spans="2:6" ht="16.5" thickBot="1" x14ac:dyDescent="0.3">
      <c r="B13" s="1" t="s">
        <v>11</v>
      </c>
      <c r="C13" s="1"/>
      <c r="D13" s="1"/>
      <c r="E13" s="1"/>
      <c r="F13" s="1"/>
    </row>
    <row r="14" spans="2:6" ht="16.5" thickBot="1" x14ac:dyDescent="0.3">
      <c r="B14" s="2" t="s">
        <v>0</v>
      </c>
      <c r="C14" s="3" t="s">
        <v>1</v>
      </c>
      <c r="D14" s="8" t="s">
        <v>9</v>
      </c>
      <c r="E14" s="3" t="s">
        <v>7</v>
      </c>
      <c r="F14" s="11" t="s">
        <v>8</v>
      </c>
    </row>
    <row r="15" spans="2:6" ht="15.75" x14ac:dyDescent="0.25">
      <c r="B15" s="4" t="s">
        <v>2</v>
      </c>
      <c r="C15" s="1">
        <v>225</v>
      </c>
      <c r="D15" s="9">
        <f>LOG10(C15)</f>
        <v>2.3521825181113627</v>
      </c>
      <c r="E15" s="1">
        <v>1.32032E-2</v>
      </c>
      <c r="F15" s="12">
        <f>-LOG10(E15)</f>
        <v>1.8793207980429614</v>
      </c>
    </row>
    <row r="16" spans="2:6" ht="15.75" x14ac:dyDescent="0.25">
      <c r="B16" s="4" t="s">
        <v>3</v>
      </c>
      <c r="C16" s="1">
        <v>961</v>
      </c>
      <c r="D16" s="9">
        <f t="shared" ref="D16:D19" si="2">LOG10(C16)</f>
        <v>2.9827233876685453</v>
      </c>
      <c r="E16" s="1">
        <v>3.3161599999999999E-3</v>
      </c>
      <c r="F16" s="12">
        <f t="shared" ref="F16:F19" si="3">-LOG10(E16)</f>
        <v>2.4793645235256392</v>
      </c>
    </row>
    <row r="17" spans="2:6" ht="15.75" x14ac:dyDescent="0.25">
      <c r="B17" s="4" t="s">
        <v>4</v>
      </c>
      <c r="C17" s="1">
        <v>3969</v>
      </c>
      <c r="D17" s="9">
        <f t="shared" si="2"/>
        <v>3.5986810989071634</v>
      </c>
      <c r="E17" s="1">
        <v>8.2628900000000002E-4</v>
      </c>
      <c r="F17" s="12">
        <f t="shared" si="3"/>
        <v>3.0828680287649153</v>
      </c>
    </row>
    <row r="18" spans="2:6" ht="15.75" x14ac:dyDescent="0.25">
      <c r="B18" s="4" t="s">
        <v>5</v>
      </c>
      <c r="C18" s="1">
        <v>16129</v>
      </c>
      <c r="D18" s="9">
        <f t="shared" si="2"/>
        <v>4.2076074419119136</v>
      </c>
      <c r="E18" s="1">
        <v>2.0588900000000001E-4</v>
      </c>
      <c r="F18" s="12">
        <f t="shared" si="3"/>
        <v>3.6863668557467819</v>
      </c>
    </row>
    <row r="19" spans="2:6" ht="16.5" thickBot="1" x14ac:dyDescent="0.3">
      <c r="B19" s="5" t="s">
        <v>6</v>
      </c>
      <c r="C19" s="6">
        <v>65025</v>
      </c>
      <c r="D19" s="10">
        <f t="shared" si="2"/>
        <v>4.81308036086791</v>
      </c>
      <c r="E19" s="7">
        <v>5.13988E-5</v>
      </c>
      <c r="F19" s="13">
        <f t="shared" si="3"/>
        <v>4.2890470202938662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Raziel</cp:lastModifiedBy>
  <dcterms:created xsi:type="dcterms:W3CDTF">2015-06-05T18:17:20Z</dcterms:created>
  <dcterms:modified xsi:type="dcterms:W3CDTF">2022-12-18T04:13:47Z</dcterms:modified>
</cp:coreProperties>
</file>