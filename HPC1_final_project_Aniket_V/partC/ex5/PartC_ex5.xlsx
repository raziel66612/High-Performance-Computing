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nike\Box\ub_coursework\sem_3_Fall\1_HPC_1\homeworks\final project\Part C\ex5\"/>
    </mc:Choice>
  </mc:AlternateContent>
  <xr:revisionPtr revIDLastSave="0" documentId="13_ncr:1_{F69E779E-7541-4F83-9AD5-B6079779B0F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F29" i="1"/>
  <c r="C29" i="1"/>
  <c r="F18" i="1"/>
  <c r="F19" i="1"/>
  <c r="C18" i="1"/>
  <c r="G19" i="1"/>
  <c r="G18" i="1"/>
  <c r="G20" i="1"/>
  <c r="G21" i="1"/>
  <c r="F33" i="1"/>
  <c r="F32" i="1"/>
  <c r="F31" i="1"/>
  <c r="F30" i="1"/>
  <c r="F22" i="1"/>
  <c r="F21" i="1"/>
  <c r="F20" i="1"/>
  <c r="F12" i="1"/>
  <c r="F11" i="1"/>
  <c r="F10" i="1"/>
  <c r="F9" i="1"/>
  <c r="C33" i="1"/>
  <c r="C32" i="1"/>
  <c r="C31" i="1"/>
  <c r="C30" i="1"/>
  <c r="C22" i="1"/>
  <c r="C21" i="1"/>
  <c r="C20" i="1"/>
  <c r="C19" i="1"/>
  <c r="C12" i="1"/>
  <c r="C11" i="1"/>
  <c r="C10" i="1"/>
  <c r="C9" i="1"/>
</calcChain>
</file>

<file path=xl/sharedStrings.xml><?xml version="1.0" encoding="utf-8"?>
<sst xmlns="http://schemas.openxmlformats.org/spreadsheetml/2006/main" count="34" uniqueCount="14">
  <si>
    <t>ex5</t>
  </si>
  <si>
    <t>grid_size</t>
  </si>
  <si>
    <t>problem size</t>
  </si>
  <si>
    <t>L2 norm error</t>
  </si>
  <si>
    <t>256x256</t>
  </si>
  <si>
    <t>512x512</t>
  </si>
  <si>
    <t>1024x1024</t>
  </si>
  <si>
    <t>2048x2048</t>
  </si>
  <si>
    <t>runtime</t>
  </si>
  <si>
    <t>MUMPS</t>
  </si>
  <si>
    <t>Block jacobi</t>
  </si>
  <si>
    <t>Algebraic multigrid</t>
  </si>
  <si>
    <t>Digit of efficacy(DoE)</t>
  </si>
  <si>
    <t>128x128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</si>
</sst>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11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9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mumps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Sheet1!$E$8:$E$12</c:f>
              <c:numCache>
                <c:formatCode>General</c:formatCode>
                <c:ptCount val="5"/>
                <c:pt idx="0">
                  <c:v>0.45329999999999998</c:v>
                </c:pt>
                <c:pt idx="1">
                  <c:v>0.95320000000000005</c:v>
                </c:pt>
                <c:pt idx="2">
                  <c:v>3.7639999999999998</c:v>
                </c:pt>
                <c:pt idx="3">
                  <c:v>16.22</c:v>
                </c:pt>
                <c:pt idx="4">
                  <c:v>71.22</c:v>
                </c:pt>
              </c:numCache>
            </c:numRef>
          </c:xVal>
          <c:yVal>
            <c:numRef>
              <c:f>Sheet1!$F$8:$F$12</c:f>
              <c:numCache>
                <c:formatCode>General</c:formatCode>
                <c:ptCount val="5"/>
                <c:pt idx="0">
                  <c:v>3.9889469993156297</c:v>
                </c:pt>
                <c:pt idx="1">
                  <c:v>4.2700461478108256</c:v>
                </c:pt>
                <c:pt idx="2">
                  <c:v>4.2765257152738849</c:v>
                </c:pt>
                <c:pt idx="3">
                  <c:v>4.2446172882397049</c:v>
                </c:pt>
                <c:pt idx="4">
                  <c:v>4.2043484245054454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A5-448F-97F9-D3A414D8854D}"/>
            </c:ext>
          </c:extLst>
        </c:ser>
        <c:ser>
          <c:idx val="1"/>
          <c:order val="1"/>
          <c:tx>
            <c:v>Block jacobi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Sheet1!$E$18:$E$22</c:f>
              <c:numCache>
                <c:formatCode>General</c:formatCode>
                <c:ptCount val="5"/>
                <c:pt idx="0">
                  <c:v>0.23330000000000001</c:v>
                </c:pt>
                <c:pt idx="1">
                  <c:v>0.77569999999999995</c:v>
                </c:pt>
                <c:pt idx="2">
                  <c:v>7.5389999999999997</c:v>
                </c:pt>
                <c:pt idx="3">
                  <c:v>44.63</c:v>
                </c:pt>
                <c:pt idx="4">
                  <c:v>89.01</c:v>
                </c:pt>
              </c:numCache>
            </c:numRef>
          </c:xVal>
          <c:yVal>
            <c:numRef>
              <c:f>Sheet1!$F$18:$F$22</c:f>
              <c:numCache>
                <c:formatCode>General</c:formatCode>
                <c:ptCount val="5"/>
                <c:pt idx="0">
                  <c:v>4.2774179795805649</c:v>
                </c:pt>
                <c:pt idx="1">
                  <c:v>4.3595371609709384</c:v>
                </c:pt>
                <c:pt idx="2">
                  <c:v>3.9748615867168655</c:v>
                </c:pt>
                <c:pt idx="3">
                  <c:v>3.8050474374969641</c:v>
                </c:pt>
                <c:pt idx="4">
                  <c:v>-1.6426124194165752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A5-448F-97F9-D3A414D8854D}"/>
            </c:ext>
          </c:extLst>
        </c:ser>
        <c:ser>
          <c:idx val="2"/>
          <c:order val="2"/>
          <c:tx>
            <c:v>algebraic multigrid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Sheet1!$E$29:$E$33</c:f>
              <c:numCache>
                <c:formatCode>General</c:formatCode>
                <c:ptCount val="5"/>
                <c:pt idx="0">
                  <c:v>0.29320000000000002</c:v>
                </c:pt>
                <c:pt idx="1">
                  <c:v>0.2792</c:v>
                </c:pt>
                <c:pt idx="2">
                  <c:v>0.47560000000000002</c:v>
                </c:pt>
                <c:pt idx="3">
                  <c:v>1.2569999999999999</c:v>
                </c:pt>
                <c:pt idx="4">
                  <c:v>5.4359999999999999</c:v>
                </c:pt>
              </c:numCache>
            </c:numRef>
          </c:xVal>
          <c:yVal>
            <c:numRef>
              <c:f>Sheet1!$F$29:$F$33</c:f>
              <c:numCache>
                <c:formatCode>General</c:formatCode>
                <c:ptCount val="5"/>
                <c:pt idx="0">
                  <c:v>4.1781687524052273</c:v>
                </c:pt>
                <c:pt idx="1">
                  <c:v>4.8033147675341201</c:v>
                </c:pt>
                <c:pt idx="2">
                  <c:v>5.1749334840824499</c:v>
                </c:pt>
                <c:pt idx="3">
                  <c:v>5.3553031677867038</c:v>
                </c:pt>
                <c:pt idx="4">
                  <c:v>5.3216610429435161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A5-448F-97F9-D3A414D88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364975"/>
        <c:axId val="832365391"/>
      </c:scatterChart>
      <c:valAx>
        <c:axId val="832364975"/>
        <c:scaling>
          <c:logBase val="10"/>
          <c:orientation val="minMax"/>
          <c:max val="100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65391"/>
        <c:crosses val="autoZero"/>
        <c:crossBetween val="midCat"/>
      </c:valAx>
      <c:valAx>
        <c:axId val="832365391"/>
        <c:scaling>
          <c:orientation val="minMax"/>
          <c:max val="10"/>
          <c:min val="-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64975"/>
        <c:crosses val="autoZero"/>
        <c:crossBetween val="midCat"/>
      </c:valAx>
      <c:spPr>
        <a:noFill/>
        <a:ln>
          <a:solidFill>
            <a:schemeClr val="tx1"/>
          </a:solidFill>
          <a:prstDash val="solid"/>
        </a:ln>
        <a:effectLst/>
      </c:spPr>
    </c:plotArea>
    <c:legend>
      <c:legendPos val="tr"/>
      <c:layout>
        <c:manualLayout>
          <c:xMode val="edge"/>
          <c:yMode val="edge"/>
          <c:x val="0.67779268545379201"/>
          <c:y val="5.4288569269329873E-2"/>
          <c:w val="0.23010757701339965"/>
          <c:h val="0.226851517599558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171449</xdr:colOff>
      <xdr:row>5</xdr:row>
      <xdr:rowOff>121783</xdr:rowOff>
    </xdr:from>
    <xdr:to>
      <xdr:col>18</xdr:col>
      <xdr:colOff>228600</xdr:colOff>
      <xdr:row>31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CCE9C-8641-E357-E10B-435D775BD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33"/>
  <sheetViews>
    <sheetView tabSelected="1" zoomScaleNormal="100" workbookViewId="0">
      <selection activeCell="Y15" sqref="Y15"/>
    </sheetView>
  </sheetViews>
  <sheetFormatPr defaultRowHeight="15" x14ac:dyDescent="0.25"/>
  <cols>
    <col min="2" max="2" width="8.85546875" bestFit="1" customWidth="1"/>
    <col min="3" max="3" width="12.42578125" bestFit="1" customWidth="1"/>
    <col min="4" max="4" width="12.85546875" bestFit="1" customWidth="1"/>
    <col min="6" max="6" width="19.85546875" bestFit="1" customWidth="1"/>
    <col min="7" max="7" width="14" customWidth="1"/>
  </cols>
  <sheetData>
    <row r="5" spans="2:6" ht="15.75" thickBot="1" x14ac:dyDescent="0.3">
      <c r="B5" t="s">
        <v>0</v>
      </c>
    </row>
    <row r="6" spans="2:6" ht="15.75" thickBot="1" x14ac:dyDescent="0.3">
      <c r="B6" s="15" t="s">
        <v>9</v>
      </c>
      <c r="C6" s="16"/>
      <c r="D6" s="16"/>
      <c r="E6" s="16"/>
      <c r="F6" s="17"/>
    </row>
    <row r="7" spans="2:6" ht="15.75" thickBot="1" x14ac:dyDescent="0.3">
      <c r="B7" s="8" t="s">
        <v>1</v>
      </c>
      <c r="C7" s="8" t="s">
        <v>2</v>
      </c>
      <c r="D7" s="8" t="s">
        <v>3</v>
      </c>
      <c r="E7" s="9" t="s">
        <v>8</v>
      </c>
      <c r="F7" s="9" t="s">
        <v>12</v>
      </c>
    </row>
    <row r="8" spans="2:6" x14ac:dyDescent="0.25">
      <c r="B8" t="s">
        <v>13</v>
      </c>
      <c r="C8">
        <f>128*128</f>
        <v>16384</v>
      </c>
      <c r="D8">
        <v>2.2629099999999999E-4</v>
      </c>
      <c r="E8">
        <v>0.45329999999999998</v>
      </c>
      <c r="F8" s="11">
        <f>-LOG10(D8*E8)</f>
        <v>3.9889469993156297</v>
      </c>
    </row>
    <row r="9" spans="2:6" x14ac:dyDescent="0.25">
      <c r="B9" s="2" t="s">
        <v>4</v>
      </c>
      <c r="C9">
        <f>256*256</f>
        <v>65536</v>
      </c>
      <c r="D9" s="1">
        <v>5.6333899999999999E-5</v>
      </c>
      <c r="E9" s="10">
        <v>0.95320000000000005</v>
      </c>
      <c r="F9" s="11">
        <f>-LOG10(D9*E9)</f>
        <v>4.2700461478108256</v>
      </c>
    </row>
    <row r="10" spans="2:6" x14ac:dyDescent="0.25">
      <c r="B10" s="2" t="s">
        <v>5</v>
      </c>
      <c r="C10">
        <f>512*512</f>
        <v>262144</v>
      </c>
      <c r="D10" s="1">
        <v>1.40548E-5</v>
      </c>
      <c r="E10" s="10">
        <v>3.7639999999999998</v>
      </c>
      <c r="F10" s="11">
        <f t="shared" ref="F10:F12" si="0">-LOG10(D10*E10)</f>
        <v>4.2765257152738849</v>
      </c>
    </row>
    <row r="11" spans="2:6" x14ac:dyDescent="0.25">
      <c r="B11" s="2" t="s">
        <v>6</v>
      </c>
      <c r="C11">
        <f>1024*1024</f>
        <v>1048576</v>
      </c>
      <c r="D11" s="1">
        <v>3.5101999999999999E-6</v>
      </c>
      <c r="E11" s="10">
        <v>16.22</v>
      </c>
      <c r="F11" s="11">
        <f t="shared" si="0"/>
        <v>4.2446172882397049</v>
      </c>
    </row>
    <row r="12" spans="2:6" ht="15.75" thickBot="1" x14ac:dyDescent="0.3">
      <c r="B12" s="3" t="s">
        <v>7</v>
      </c>
      <c r="C12" s="4">
        <f>2048*2048</f>
        <v>4194304</v>
      </c>
      <c r="D12" s="5">
        <v>8.7710099999999996E-7</v>
      </c>
      <c r="E12" s="12">
        <v>71.22</v>
      </c>
      <c r="F12" s="13">
        <f t="shared" si="0"/>
        <v>4.2043484245054454</v>
      </c>
    </row>
    <row r="15" spans="2:6" ht="15.75" thickBot="1" x14ac:dyDescent="0.3"/>
    <row r="16" spans="2:6" ht="15.75" thickBot="1" x14ac:dyDescent="0.3">
      <c r="B16" s="15" t="s">
        <v>10</v>
      </c>
      <c r="C16" s="16"/>
      <c r="D16" s="16"/>
      <c r="E16" s="16"/>
      <c r="F16" s="17"/>
    </row>
    <row r="17" spans="2:7" ht="15.75" thickBot="1" x14ac:dyDescent="0.3">
      <c r="B17" s="6" t="s">
        <v>1</v>
      </c>
      <c r="C17" s="8" t="s">
        <v>2</v>
      </c>
      <c r="D17" s="8" t="s">
        <v>3</v>
      </c>
      <c r="E17" s="9" t="s">
        <v>8</v>
      </c>
      <c r="F17" s="9" t="s">
        <v>12</v>
      </c>
    </row>
    <row r="18" spans="2:7" x14ac:dyDescent="0.25">
      <c r="B18" t="s">
        <v>13</v>
      </c>
      <c r="C18">
        <f>128*128</f>
        <v>16384</v>
      </c>
      <c r="D18">
        <v>2.2629099999999999E-4</v>
      </c>
      <c r="E18">
        <v>0.23330000000000001</v>
      </c>
      <c r="F18" s="11">
        <f>-LOG10(D18*E18)</f>
        <v>4.2774179795805649</v>
      </c>
      <c r="G18" s="1">
        <f>E19*D19</f>
        <v>4.3698128659999999E-5</v>
      </c>
    </row>
    <row r="19" spans="2:7" x14ac:dyDescent="0.25">
      <c r="B19" s="2" t="s">
        <v>4</v>
      </c>
      <c r="C19">
        <f>256*256</f>
        <v>65536</v>
      </c>
      <c r="D19" s="1">
        <v>5.6333799999999999E-5</v>
      </c>
      <c r="E19" s="10">
        <v>0.77569999999999995</v>
      </c>
      <c r="F19" s="11">
        <f>-LOG10(D19*E19)</f>
        <v>4.3595371609709384</v>
      </c>
      <c r="G19" s="1">
        <f>E20*D20</f>
        <v>1.059591372E-4</v>
      </c>
    </row>
    <row r="20" spans="2:7" x14ac:dyDescent="0.25">
      <c r="B20" s="2" t="s">
        <v>5</v>
      </c>
      <c r="C20">
        <f>512*512</f>
        <v>262144</v>
      </c>
      <c r="D20" s="1">
        <v>1.40548E-5</v>
      </c>
      <c r="E20" s="10">
        <v>7.5389999999999997</v>
      </c>
      <c r="F20" s="11">
        <f t="shared" ref="F20:F22" si="1">-LOG10(D20*E20)</f>
        <v>3.9748615867168655</v>
      </c>
      <c r="G20" s="1">
        <f>E21*D21</f>
        <v>1.5665799450000003E-4</v>
      </c>
    </row>
    <row r="21" spans="2:7" x14ac:dyDescent="0.25">
      <c r="B21" s="2" t="s">
        <v>6</v>
      </c>
      <c r="C21">
        <f>1024*1024</f>
        <v>1048576</v>
      </c>
      <c r="D21" s="1">
        <v>3.5101500000000002E-6</v>
      </c>
      <c r="E21" s="10">
        <v>44.63</v>
      </c>
      <c r="F21" s="11">
        <f t="shared" si="1"/>
        <v>3.8050474374969641</v>
      </c>
      <c r="G21" s="1">
        <f>E22*D22</f>
        <v>43.914952710000001</v>
      </c>
    </row>
    <row r="22" spans="2:7" ht="15.75" thickBot="1" x14ac:dyDescent="0.3">
      <c r="B22" s="3" t="s">
        <v>7</v>
      </c>
      <c r="C22" s="4">
        <f>2048*2048</f>
        <v>4194304</v>
      </c>
      <c r="D22" s="5">
        <v>0.493371</v>
      </c>
      <c r="E22" s="12">
        <v>89.01</v>
      </c>
      <c r="F22" s="13">
        <f t="shared" si="1"/>
        <v>-1.6426124194165752</v>
      </c>
    </row>
    <row r="26" spans="2:7" ht="15.75" thickBot="1" x14ac:dyDescent="0.3"/>
    <row r="27" spans="2:7" ht="15.75" thickBot="1" x14ac:dyDescent="0.3">
      <c r="B27" s="15" t="s">
        <v>11</v>
      </c>
      <c r="C27" s="16"/>
      <c r="D27" s="16"/>
      <c r="E27" s="16"/>
      <c r="F27" s="17"/>
    </row>
    <row r="28" spans="2:7" ht="15.75" thickBot="1" x14ac:dyDescent="0.3">
      <c r="B28" s="6" t="s">
        <v>1</v>
      </c>
      <c r="C28" s="8" t="s">
        <v>2</v>
      </c>
      <c r="D28" s="7" t="s">
        <v>3</v>
      </c>
      <c r="E28" s="9" t="s">
        <v>8</v>
      </c>
      <c r="F28" s="14" t="s">
        <v>12</v>
      </c>
    </row>
    <row r="29" spans="2:7" x14ac:dyDescent="0.25">
      <c r="B29" t="s">
        <v>13</v>
      </c>
      <c r="C29">
        <f>128*128</f>
        <v>16384</v>
      </c>
      <c r="D29">
        <v>2.2629099999999999E-4</v>
      </c>
      <c r="E29">
        <v>0.29320000000000002</v>
      </c>
      <c r="F29" s="11">
        <f>-LOG10(D29*E29)</f>
        <v>4.1781687524052273</v>
      </c>
    </row>
    <row r="30" spans="2:7" x14ac:dyDescent="0.25">
      <c r="B30" s="2" t="s">
        <v>4</v>
      </c>
      <c r="C30">
        <f>256*256</f>
        <v>65536</v>
      </c>
      <c r="D30" s="1">
        <v>5.6333899999999999E-5</v>
      </c>
      <c r="E30" s="10">
        <v>0.2792</v>
      </c>
      <c r="F30" s="11">
        <f>-LOG10(D30*E30)</f>
        <v>4.8033147675341201</v>
      </c>
    </row>
    <row r="31" spans="2:7" x14ac:dyDescent="0.25">
      <c r="B31" s="2" t="s">
        <v>5</v>
      </c>
      <c r="C31">
        <f>512*512</f>
        <v>262144</v>
      </c>
      <c r="D31" s="1">
        <v>1.40548E-5</v>
      </c>
      <c r="E31" s="10">
        <v>0.47560000000000002</v>
      </c>
      <c r="F31" s="11">
        <f t="shared" ref="F31:F33" si="2">-LOG10(D31*E31)</f>
        <v>5.1749334840824499</v>
      </c>
    </row>
    <row r="32" spans="2:7" x14ac:dyDescent="0.25">
      <c r="B32" s="2" t="s">
        <v>6</v>
      </c>
      <c r="C32">
        <f>1024*1024</f>
        <v>1048576</v>
      </c>
      <c r="D32" s="1">
        <v>3.5104400000000001E-6</v>
      </c>
      <c r="E32" s="10">
        <v>1.2569999999999999</v>
      </c>
      <c r="F32" s="11">
        <f t="shared" si="2"/>
        <v>5.3553031677867038</v>
      </c>
    </row>
    <row r="33" spans="2:6" ht="15.75" thickBot="1" x14ac:dyDescent="0.3">
      <c r="B33" s="3" t="s">
        <v>7</v>
      </c>
      <c r="C33" s="4">
        <f>2048*2048</f>
        <v>4194304</v>
      </c>
      <c r="D33" s="5">
        <v>8.7712099999999998E-7</v>
      </c>
      <c r="E33" s="12">
        <v>5.4359999999999999</v>
      </c>
      <c r="F33" s="13">
        <f t="shared" si="2"/>
        <v>5.3216610429435161</v>
      </c>
    </row>
  </sheetData>
  <mergeCells count="3">
    <mergeCell ref="B6:F6"/>
    <mergeCell ref="B16:F1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Raziel</cp:lastModifiedBy>
  <dcterms:created xsi:type="dcterms:W3CDTF">2015-06-05T18:17:20Z</dcterms:created>
  <dcterms:modified xsi:type="dcterms:W3CDTF">2022-12-18T18:49:51Z</dcterms:modified>
</cp:coreProperties>
</file>