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final project\Part B\ex13\"/>
    </mc:Choice>
  </mc:AlternateContent>
  <xr:revisionPtr revIDLastSave="0" documentId="13_ncr:1_{6C0EAD57-BAC7-4B0C-9F6E-C2C691AC0041}" xr6:coauthVersionLast="47" xr6:coauthVersionMax="47" xr10:uidLastSave="{00000000-0000-0000-0000-000000000000}"/>
  <bookViews>
    <workbookView xWindow="1905" yWindow="1905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20" i="1"/>
  <c r="E8" i="1"/>
  <c r="E7" i="1"/>
  <c r="C32" i="1"/>
  <c r="C20" i="1"/>
  <c r="C7" i="1"/>
  <c r="C36" i="1"/>
  <c r="E36" i="1" s="1"/>
  <c r="C35" i="1"/>
  <c r="E35" i="1" s="1"/>
  <c r="C34" i="1"/>
  <c r="E34" i="1" s="1"/>
  <c r="C33" i="1"/>
  <c r="E33" i="1" s="1"/>
  <c r="E24" i="1"/>
  <c r="C24" i="1"/>
  <c r="C23" i="1"/>
  <c r="E23" i="1" s="1"/>
  <c r="C22" i="1"/>
  <c r="E22" i="1" s="1"/>
  <c r="C21" i="1"/>
  <c r="E21" i="1" s="1"/>
  <c r="C11" i="1"/>
  <c r="E11" i="1" s="1"/>
  <c r="C10" i="1"/>
  <c r="E10" i="1" s="1"/>
  <c r="C9" i="1"/>
  <c r="E9" i="1" s="1"/>
  <c r="C8" i="1"/>
</calcChain>
</file>

<file path=xl/sharedStrings.xml><?xml version="1.0" encoding="utf-8"?>
<sst xmlns="http://schemas.openxmlformats.org/spreadsheetml/2006/main" count="30" uniqueCount="12">
  <si>
    <t>grid size</t>
  </si>
  <si>
    <t>256x256</t>
  </si>
  <si>
    <t>512x512</t>
  </si>
  <si>
    <t>1024x1024</t>
  </si>
  <si>
    <t>2048x2048</t>
  </si>
  <si>
    <t>MUMPS or SupeLU_dist</t>
  </si>
  <si>
    <t>Runtime (T)</t>
  </si>
  <si>
    <t>Problem size(N)</t>
  </si>
  <si>
    <t>N/T</t>
  </si>
  <si>
    <t>Block-Jacobi with ILU(0)</t>
  </si>
  <si>
    <t>Algebraic Multigrid</t>
  </si>
  <si>
    <t>128x128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</si>
</sst>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0" fontId="3" fillId="2" borderId="3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3" borderId="10" xfId="0" applyFont="1" applyFill="1" applyBorder="1"/>
    <xf numFmtId="0" fontId="1" fillId="0" borderId="4" xfId="0" applyFont="1" applyBorder="1"/>
    <xf numFmtId="0" fontId="3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3" borderId="7" xfId="0" applyFont="1" applyFill="1" applyBorder="1"/>
    <xf numFmtId="0" fontId="3" fillId="2" borderId="8" xfId="0" applyFont="1" applyFill="1" applyBorder="1"/>
    <xf numFmtId="11" fontId="1" fillId="0" borderId="0" xfId="0" applyNumberFormat="1" applyFont="1"/>
    <xf numFmtId="0" fontId="1" fillId="3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MUMPS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Sheet1!$D$7:$D$11</c:f>
              <c:numCache>
                <c:formatCode>General</c:formatCode>
                <c:ptCount val="5"/>
                <c:pt idx="0">
                  <c:v>1.2</c:v>
                </c:pt>
                <c:pt idx="1">
                  <c:v>4.2270000000000003</c:v>
                </c:pt>
                <c:pt idx="2">
                  <c:v>17.510000000000002</c:v>
                </c:pt>
                <c:pt idx="3">
                  <c:v>76.2</c:v>
                </c:pt>
                <c:pt idx="4">
                  <c:v>386.1</c:v>
                </c:pt>
              </c:numCache>
            </c:numRef>
          </c:xVal>
          <c:yVal>
            <c:numRef>
              <c:f>Sheet1!$E$7:$E$11</c:f>
              <c:numCache>
                <c:formatCode>General</c:formatCode>
                <c:ptCount val="5"/>
                <c:pt idx="0">
                  <c:v>13653.333333333334</c:v>
                </c:pt>
                <c:pt idx="1">
                  <c:v>15504.140052046367</c:v>
                </c:pt>
                <c:pt idx="2">
                  <c:v>14971.102227298685</c:v>
                </c:pt>
                <c:pt idx="3">
                  <c:v>13760.839895013123</c:v>
                </c:pt>
                <c:pt idx="4">
                  <c:v>10863.258223258223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A5-448F-97F9-D3A414D8854D}"/>
            </c:ext>
          </c:extLst>
        </c:ser>
        <c:ser>
          <c:idx val="1"/>
          <c:order val="1"/>
          <c:tx>
            <c:v>Block-jacobi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Sheet1!$D$20:$D$24</c:f>
              <c:numCache>
                <c:formatCode>General</c:formatCode>
                <c:ptCount val="5"/>
                <c:pt idx="0">
                  <c:v>1.077</c:v>
                </c:pt>
                <c:pt idx="1">
                  <c:v>3.5790000000000002</c:v>
                </c:pt>
                <c:pt idx="2">
                  <c:v>14.14</c:v>
                </c:pt>
                <c:pt idx="3">
                  <c:v>64.209999999999994</c:v>
                </c:pt>
                <c:pt idx="4">
                  <c:v>379.4</c:v>
                </c:pt>
              </c:numCache>
            </c:numRef>
          </c:xVal>
          <c:yVal>
            <c:numRef>
              <c:f>Sheet1!$E$20:$E$24</c:f>
              <c:numCache>
                <c:formatCode>General</c:formatCode>
                <c:ptCount val="5"/>
                <c:pt idx="0">
                  <c:v>15212.627669452182</c:v>
                </c:pt>
                <c:pt idx="1">
                  <c:v>18311.26012852752</c:v>
                </c:pt>
                <c:pt idx="2">
                  <c:v>18539.179632248939</c:v>
                </c:pt>
                <c:pt idx="3">
                  <c:v>16330.415823080519</c:v>
                </c:pt>
                <c:pt idx="4">
                  <c:v>11055.097522403796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A5-448F-97F9-D3A414D8854D}"/>
            </c:ext>
          </c:extLst>
        </c:ser>
        <c:ser>
          <c:idx val="2"/>
          <c:order val="2"/>
          <c:tx>
            <c:v>Algebraic multigrid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Sheet1!$D$32:$D$36</c:f>
              <c:numCache>
                <c:formatCode>General</c:formatCode>
                <c:ptCount val="5"/>
                <c:pt idx="0">
                  <c:v>1.046</c:v>
                </c:pt>
                <c:pt idx="1">
                  <c:v>3.4649999999999999</c:v>
                </c:pt>
                <c:pt idx="2">
                  <c:v>13.54</c:v>
                </c:pt>
                <c:pt idx="3">
                  <c:v>57.63</c:v>
                </c:pt>
                <c:pt idx="4">
                  <c:v>297</c:v>
                </c:pt>
              </c:numCache>
            </c:numRef>
          </c:xVal>
          <c:yVal>
            <c:numRef>
              <c:f>Sheet1!$E$32:$E$36</c:f>
              <c:numCache>
                <c:formatCode>General</c:formatCode>
                <c:ptCount val="5"/>
                <c:pt idx="0">
                  <c:v>15663.479923518164</c:v>
                </c:pt>
                <c:pt idx="1">
                  <c:v>18913.708513708516</c:v>
                </c:pt>
                <c:pt idx="2">
                  <c:v>19360.709010339735</c:v>
                </c:pt>
                <c:pt idx="3">
                  <c:v>18194.96789866389</c:v>
                </c:pt>
                <c:pt idx="4">
                  <c:v>14122.23569023569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A5-448F-97F9-D3A414D8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364975"/>
        <c:axId val="832365391"/>
      </c:scatterChart>
      <c:valAx>
        <c:axId val="832364975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2365391"/>
        <c:crosses val="autoZero"/>
        <c:crossBetween val="midCat"/>
      </c:valAx>
      <c:valAx>
        <c:axId val="832365391"/>
        <c:scaling>
          <c:logBase val="10"/>
          <c:orientation val="minMax"/>
          <c:max val="1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DoF/s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2364975"/>
        <c:crosses val="autoZero"/>
        <c:crossBetween val="midCat"/>
      </c:valAx>
      <c:spPr>
        <a:noFill/>
        <a:ln>
          <a:solidFill>
            <a:schemeClr val="tx1"/>
          </a:solidFill>
          <a:prstDash val="solid"/>
        </a:ln>
        <a:effectLst/>
      </c:spPr>
    </c:plotArea>
    <c:legend>
      <c:legendPos val="tr"/>
      <c:layout>
        <c:manualLayout>
          <c:xMode val="edge"/>
          <c:yMode val="edge"/>
          <c:x val="0.79382508880379021"/>
          <c:y val="3.4263659203997529E-2"/>
          <c:w val="0.17309001080747261"/>
          <c:h val="0.1400424739438690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161925</xdr:rowOff>
    </xdr:from>
    <xdr:to>
      <xdr:col>22</xdr:col>
      <xdr:colOff>495300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DD75E-D48F-EEA9-DF14-FD9E2C2CD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36"/>
  <sheetViews>
    <sheetView tabSelected="1" topLeftCell="F1" zoomScale="85" zoomScaleNormal="85" workbookViewId="0">
      <selection activeCell="D14" sqref="D14"/>
    </sheetView>
  </sheetViews>
  <sheetFormatPr defaultRowHeight="15" x14ac:dyDescent="0.25"/>
  <cols>
    <col min="2" max="2" width="11.140625" bestFit="1" customWidth="1"/>
    <col min="3" max="3" width="15.28515625" bestFit="1" customWidth="1"/>
    <col min="4" max="4" width="14" bestFit="1" customWidth="1"/>
    <col min="5" max="5" width="23.42578125" bestFit="1" customWidth="1"/>
  </cols>
  <sheetData>
    <row r="4" spans="2:6" ht="15.75" thickBot="1" x14ac:dyDescent="0.3">
      <c r="B4" s="1"/>
      <c r="C4" s="1"/>
      <c r="D4" s="1"/>
      <c r="E4" s="1"/>
      <c r="F4" s="1"/>
    </row>
    <row r="5" spans="2:6" ht="19.5" thickBot="1" x14ac:dyDescent="0.35">
      <c r="B5" s="17" t="s">
        <v>5</v>
      </c>
      <c r="C5" s="18"/>
      <c r="D5" s="18"/>
      <c r="E5" s="19"/>
      <c r="F5" s="1"/>
    </row>
    <row r="6" spans="2:6" ht="15.75" thickBot="1" x14ac:dyDescent="0.3">
      <c r="B6" s="2" t="s">
        <v>0</v>
      </c>
      <c r="C6" s="3" t="s">
        <v>7</v>
      </c>
      <c r="D6" s="4" t="s">
        <v>6</v>
      </c>
      <c r="E6" s="5" t="s">
        <v>8</v>
      </c>
      <c r="F6" s="1"/>
    </row>
    <row r="7" spans="2:6" x14ac:dyDescent="0.25">
      <c r="B7" s="6" t="s">
        <v>11</v>
      </c>
      <c r="C7" s="7">
        <f>128*128</f>
        <v>16384</v>
      </c>
      <c r="D7" s="8">
        <v>1.2</v>
      </c>
      <c r="E7" s="10">
        <f>C7/D7</f>
        <v>13653.333333333334</v>
      </c>
      <c r="F7" s="1"/>
    </row>
    <row r="8" spans="2:6" x14ac:dyDescent="0.25">
      <c r="B8" s="9" t="s">
        <v>1</v>
      </c>
      <c r="C8" s="1">
        <f>256*256</f>
        <v>65536</v>
      </c>
      <c r="D8" s="16">
        <v>4.2270000000000003</v>
      </c>
      <c r="E8" s="10">
        <f>C8/D8</f>
        <v>15504.140052046367</v>
      </c>
      <c r="F8" s="1"/>
    </row>
    <row r="9" spans="2:6" x14ac:dyDescent="0.25">
      <c r="B9" s="9" t="s">
        <v>2</v>
      </c>
      <c r="C9" s="1">
        <f>512*512</f>
        <v>262144</v>
      </c>
      <c r="D9" s="16">
        <v>17.510000000000002</v>
      </c>
      <c r="E9" s="10">
        <f t="shared" ref="E9:E11" si="0">C9/D9</f>
        <v>14971.102227298685</v>
      </c>
      <c r="F9" s="1"/>
    </row>
    <row r="10" spans="2:6" x14ac:dyDescent="0.25">
      <c r="B10" s="9" t="s">
        <v>3</v>
      </c>
      <c r="C10" s="1">
        <f>1024*1024</f>
        <v>1048576</v>
      </c>
      <c r="D10" s="16">
        <v>76.2</v>
      </c>
      <c r="E10" s="10">
        <f t="shared" si="0"/>
        <v>13760.839895013123</v>
      </c>
      <c r="F10" s="1"/>
    </row>
    <row r="11" spans="2:6" ht="15.75" thickBot="1" x14ac:dyDescent="0.3">
      <c r="B11" s="11" t="s">
        <v>4</v>
      </c>
      <c r="C11" s="12">
        <f>2048*2048</f>
        <v>4194304</v>
      </c>
      <c r="D11" s="13">
        <v>386.1</v>
      </c>
      <c r="E11" s="14">
        <f t="shared" si="0"/>
        <v>10863.258223258223</v>
      </c>
      <c r="F11" s="1"/>
    </row>
    <row r="12" spans="2:6" x14ac:dyDescent="0.25">
      <c r="B12" s="1"/>
      <c r="C12" s="1"/>
      <c r="D12" s="15"/>
      <c r="E12" s="1"/>
      <c r="F12" s="1"/>
    </row>
    <row r="13" spans="2:6" x14ac:dyDescent="0.25">
      <c r="B13" s="1"/>
      <c r="C13" s="1"/>
      <c r="D13" s="1"/>
      <c r="E13" s="1"/>
      <c r="F13" s="1"/>
    </row>
    <row r="17" spans="2:5" ht="15.75" thickBot="1" x14ac:dyDescent="0.3"/>
    <row r="18" spans="2:5" ht="19.5" thickBot="1" x14ac:dyDescent="0.35">
      <c r="B18" s="17" t="s">
        <v>9</v>
      </c>
      <c r="C18" s="18"/>
      <c r="D18" s="18"/>
      <c r="E18" s="19"/>
    </row>
    <row r="19" spans="2:5" ht="15.75" thickBot="1" x14ac:dyDescent="0.3">
      <c r="B19" s="2" t="s">
        <v>0</v>
      </c>
      <c r="C19" s="3" t="s">
        <v>7</v>
      </c>
      <c r="D19" s="4" t="s">
        <v>6</v>
      </c>
      <c r="E19" s="5" t="s">
        <v>8</v>
      </c>
    </row>
    <row r="20" spans="2:5" x14ac:dyDescent="0.25">
      <c r="B20" s="6" t="s">
        <v>11</v>
      </c>
      <c r="C20" s="7">
        <f>128*128</f>
        <v>16384</v>
      </c>
      <c r="D20" s="8">
        <v>1.077</v>
      </c>
      <c r="E20" s="10">
        <f>C20/D20</f>
        <v>15212.627669452182</v>
      </c>
    </row>
    <row r="21" spans="2:5" x14ac:dyDescent="0.25">
      <c r="B21" s="9" t="s">
        <v>1</v>
      </c>
      <c r="C21" s="1">
        <f>256*256</f>
        <v>65536</v>
      </c>
      <c r="D21" s="16">
        <v>3.5790000000000002</v>
      </c>
      <c r="E21" s="10">
        <f>C21/D21</f>
        <v>18311.26012852752</v>
      </c>
    </row>
    <row r="22" spans="2:5" x14ac:dyDescent="0.25">
      <c r="B22" s="9" t="s">
        <v>2</v>
      </c>
      <c r="C22" s="1">
        <f>512*512</f>
        <v>262144</v>
      </c>
      <c r="D22" s="16">
        <v>14.14</v>
      </c>
      <c r="E22" s="10">
        <f t="shared" ref="E22:E24" si="1">C22/D22</f>
        <v>18539.179632248939</v>
      </c>
    </row>
    <row r="23" spans="2:5" x14ac:dyDescent="0.25">
      <c r="B23" s="9" t="s">
        <v>3</v>
      </c>
      <c r="C23" s="1">
        <f>1024*1024</f>
        <v>1048576</v>
      </c>
      <c r="D23" s="16">
        <v>64.209999999999994</v>
      </c>
      <c r="E23" s="10">
        <f t="shared" si="1"/>
        <v>16330.415823080519</v>
      </c>
    </row>
    <row r="24" spans="2:5" ht="15.75" thickBot="1" x14ac:dyDescent="0.3">
      <c r="B24" s="11" t="s">
        <v>4</v>
      </c>
      <c r="C24" s="12">
        <f>2048*2048</f>
        <v>4194304</v>
      </c>
      <c r="D24" s="13">
        <v>379.4</v>
      </c>
      <c r="E24" s="14">
        <f t="shared" si="1"/>
        <v>11055.097522403796</v>
      </c>
    </row>
    <row r="29" spans="2:5" ht="15.75" thickBot="1" x14ac:dyDescent="0.3"/>
    <row r="30" spans="2:5" ht="19.5" thickBot="1" x14ac:dyDescent="0.35">
      <c r="B30" s="17" t="s">
        <v>10</v>
      </c>
      <c r="C30" s="18"/>
      <c r="D30" s="18"/>
      <c r="E30" s="19"/>
    </row>
    <row r="31" spans="2:5" ht="15.75" thickBot="1" x14ac:dyDescent="0.3">
      <c r="B31" s="2" t="s">
        <v>0</v>
      </c>
      <c r="C31" s="3" t="s">
        <v>7</v>
      </c>
      <c r="D31" s="4" t="s">
        <v>6</v>
      </c>
      <c r="E31" s="5" t="s">
        <v>8</v>
      </c>
    </row>
    <row r="32" spans="2:5" x14ac:dyDescent="0.25">
      <c r="B32" s="6" t="s">
        <v>11</v>
      </c>
      <c r="C32" s="7">
        <f>128*128</f>
        <v>16384</v>
      </c>
      <c r="D32" s="8">
        <v>1.046</v>
      </c>
      <c r="E32" s="10">
        <f>C32/D32</f>
        <v>15663.479923518164</v>
      </c>
    </row>
    <row r="33" spans="2:5" x14ac:dyDescent="0.25">
      <c r="B33" s="9" t="s">
        <v>1</v>
      </c>
      <c r="C33" s="1">
        <f>256*256</f>
        <v>65536</v>
      </c>
      <c r="D33" s="16">
        <v>3.4649999999999999</v>
      </c>
      <c r="E33" s="10">
        <f>C33/D33</f>
        <v>18913.708513708516</v>
      </c>
    </row>
    <row r="34" spans="2:5" x14ac:dyDescent="0.25">
      <c r="B34" s="9" t="s">
        <v>2</v>
      </c>
      <c r="C34" s="1">
        <f>512*512</f>
        <v>262144</v>
      </c>
      <c r="D34" s="16">
        <v>13.54</v>
      </c>
      <c r="E34" s="10">
        <f t="shared" ref="E34:E36" si="2">C34/D34</f>
        <v>19360.709010339735</v>
      </c>
    </row>
    <row r="35" spans="2:5" x14ac:dyDescent="0.25">
      <c r="B35" s="9" t="s">
        <v>3</v>
      </c>
      <c r="C35" s="1">
        <f>1024*1024</f>
        <v>1048576</v>
      </c>
      <c r="D35" s="16">
        <v>57.63</v>
      </c>
      <c r="E35" s="10">
        <f t="shared" si="2"/>
        <v>18194.96789866389</v>
      </c>
    </row>
    <row r="36" spans="2:5" ht="15.75" thickBot="1" x14ac:dyDescent="0.3">
      <c r="B36" s="11" t="s">
        <v>4</v>
      </c>
      <c r="C36" s="12">
        <f>2048*2048</f>
        <v>4194304</v>
      </c>
      <c r="D36" s="13">
        <v>297</v>
      </c>
      <c r="E36" s="14">
        <f t="shared" si="2"/>
        <v>14122.23569023569</v>
      </c>
    </row>
  </sheetData>
  <mergeCells count="3">
    <mergeCell ref="B5:E5"/>
    <mergeCell ref="B18:E18"/>
    <mergeCell ref="B30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Raziel</cp:lastModifiedBy>
  <dcterms:created xsi:type="dcterms:W3CDTF">2015-06-05T18:17:20Z</dcterms:created>
  <dcterms:modified xsi:type="dcterms:W3CDTF">2022-12-15T16:30:52Z</dcterms:modified>
</cp:coreProperties>
</file>